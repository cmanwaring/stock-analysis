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nwa\Desktop\class_folder\challenges\W2 Challenge\"/>
    </mc:Choice>
  </mc:AlternateContent>
  <xr:revisionPtr revIDLastSave="0" documentId="13_ncr:1_{0F8517EA-6FA1-4948-BFCD-D736C010C72F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alculations" sheetId="5" r:id="rId5"/>
  </sheets>
  <calcPr calcId="191029"/>
</workbook>
</file>

<file path=xl/calcChain.xml><?xml version="1.0" encoding="utf-8"?>
<calcChain xmlns="http://schemas.openxmlformats.org/spreadsheetml/2006/main">
  <c r="F13" i="5" l="1"/>
  <c r="D14" i="5"/>
  <c r="D13" i="5"/>
  <c r="D9" i="5"/>
  <c r="C13" i="5" s="1"/>
  <c r="E9" i="5"/>
  <c r="C14" i="5" s="1"/>
  <c r="C9" i="5"/>
  <c r="B14" i="5" s="1"/>
  <c r="B9" i="5"/>
  <c r="B13" i="5" s="1"/>
</calcChain>
</file>

<file path=xl/sharedStrings.xml><?xml version="1.0" encoding="utf-8"?>
<sst xmlns="http://schemas.openxmlformats.org/spreadsheetml/2006/main" count="12093" uniqueCount="534">
  <si>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</si>
  <si>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</si>
  <si>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</si>
  <si>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</si>
  <si>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</si>
  <si>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</si>
  <si>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</si>
  <si>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</si>
  <si>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</si>
  <si>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</si>
  <si>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</si>
  <si>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</si>
  <si>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</si>
  <si>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</si>
  <si>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</si>
  <si>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</si>
  <si>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</si>
  <si>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</si>
  <si>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</si>
  <si>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</si>
  <si>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</si>
  <si>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</si>
  <si>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</si>
  <si>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</si>
  <si>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</si>
  <si>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</si>
  <si>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</si>
  <si>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</si>
  <si>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</si>
  <si>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</si>
  <si>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</si>
  <si>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</si>
  <si>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</si>
  <si>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</si>
  <si>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</si>
  <si>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</si>
  <si>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</si>
  <si>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</si>
  <si>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</si>
  <si>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</si>
  <si>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</si>
  <si>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</si>
  <si>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</si>
  <si>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</si>
  <si>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</si>
  <si>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</si>
  <si>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</si>
  <si>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</si>
  <si>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</si>
  <si>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</si>
  <si>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</si>
  <si>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</si>
  <si>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</si>
  <si>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</si>
  <si>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</si>
  <si>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</si>
  <si>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</si>
  <si>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</si>
  <si>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</si>
  <si>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</si>
  <si>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</si>
  <si>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</si>
  <si>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</si>
  <si>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</si>
  <si>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</si>
  <si>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</si>
  <si>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</si>
  <si>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</si>
  <si>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</si>
  <si>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</si>
  <si>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</si>
  <si>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</si>
  <si>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</si>
  <si>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</si>
  <si>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</si>
  <si>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</si>
  <si>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</si>
  <si>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</si>
  <si>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</si>
  <si>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</si>
  <si>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</si>
  <si>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</si>
  <si>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</si>
  <si>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</si>
  <si>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</si>
  <si>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</si>
  <si>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</si>
  <si>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</si>
  <si>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</si>
  <si>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</si>
  <si>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</si>
  <si>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</si>
  <si>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</si>
  <si>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</si>
  <si>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</si>
  <si>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</si>
  <si>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</si>
  <si>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</si>
  <si>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</si>
  <si>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</si>
  <si>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</si>
  <si>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</si>
  <si>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</si>
  <si>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</si>
  <si>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</si>
  <si>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</si>
  <si>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</si>
  <si>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</si>
  <si>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</si>
  <si>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</si>
  <si>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</si>
  <si>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</si>
  <si>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</si>
  <si>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</si>
  <si>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</si>
  <si>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</si>
  <si>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</si>
  <si>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</si>
  <si>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</si>
  <si>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</si>
  <si>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</si>
  <si>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</si>
  <si>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</si>
  <si>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</si>
  <si>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</si>
  <si>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</si>
  <si>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</si>
  <si>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</si>
  <si>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</si>
  <si>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</si>
  <si>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</si>
  <si>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</si>
  <si>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</si>
  <si>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</si>
  <si>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</si>
  <si>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</si>
  <si>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</si>
  <si>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</si>
  <si>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</si>
  <si>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</si>
  <si>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</si>
  <si>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</si>
  <si>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</si>
  <si>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</si>
  <si>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</si>
  <si>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</si>
  <si>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</si>
  <si>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</si>
  <si>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</si>
  <si>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</si>
  <si>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</si>
  <si>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</si>
  <si>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</si>
  <si>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</si>
  <si>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</si>
  <si>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</si>
  <si>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</si>
  <si>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</si>
  <si>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</si>
  <si>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</si>
  <si>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</si>
  <si>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</si>
  <si>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</si>
  <si>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</si>
  <si>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</si>
  <si>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</si>
  <si>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</si>
  <si>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</si>
  <si>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</si>
  <si>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</si>
  <si>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</si>
  <si>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</si>
  <si>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</si>
  <si>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</si>
  <si>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</si>
  <si>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</si>
  <si>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</si>
  <si>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</si>
  <si>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</si>
  <si>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</si>
  <si>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</si>
  <si>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</si>
  <si>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</si>
  <si>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</si>
  <si>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</si>
  <si>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</si>
  <si>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</si>
  <si>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</si>
  <si>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</si>
  <si>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</si>
  <si>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</si>
  <si>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</si>
  <si>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</si>
  <si>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</si>
  <si>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</si>
  <si>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</si>
  <si>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</si>
  <si>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</si>
  <si>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</si>
  <si>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</si>
  <si>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</si>
  <si>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</si>
  <si>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</si>
  <si>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</si>
  <si>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</si>
  <si>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</si>
  <si>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</si>
  <si>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</si>
  <si>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</si>
  <si>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</si>
  <si>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</si>
  <si>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</si>
  <si>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</si>
  <si>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</si>
  <si>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</si>
  <si>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</si>
  <si>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</si>
  <si>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</si>
  <si>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</si>
  <si>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</si>
  <si>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</si>
  <si>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</si>
  <si>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</si>
  <si>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</si>
  <si>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</si>
  <si>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</si>
  <si>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</si>
  <si>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</si>
  <si>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</si>
  <si>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</si>
  <si>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</si>
  <si>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</si>
  <si>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</si>
  <si>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</si>
  <si>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</si>
  <si>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</si>
  <si>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</si>
  <si>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</si>
  <si>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</si>
  <si>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</si>
  <si>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</si>
  <si>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</si>
  <si>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</si>
  <si>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</si>
  <si>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</si>
  <si>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</si>
  <si>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</si>
  <si>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</si>
  <si>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</si>
  <si>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</si>
  <si>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</si>
  <si>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</si>
  <si>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</si>
  <si>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</si>
  <si>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</si>
  <si>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</si>
  <si>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</si>
  <si>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</si>
  <si>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</si>
  <si>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</si>
  <si>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</si>
  <si>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</si>
  <si>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</si>
  <si>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</si>
  <si>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</si>
  <si>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</si>
  <si>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</si>
  <si>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</si>
  <si>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</si>
  <si>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</si>
  <si>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</si>
  <si>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</si>
  <si>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</si>
  <si>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</si>
  <si>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</si>
  <si>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</si>
  <si>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</si>
  <si>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</si>
  <si>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</si>
  <si>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</si>
  <si>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</si>
  <si>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</si>
  <si>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</si>
  <si>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</si>
  <si>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</si>
  <si>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</si>
  <si>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</si>
  <si>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</si>
  <si>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</si>
  <si>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</si>
  <si>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</si>
  <si>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</si>
  <si>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</si>
  <si>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</si>
  <si>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</si>
  <si>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</si>
  <si>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</si>
  <si>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</si>
  <si>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</si>
  <si>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</si>
  <si>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</si>
  <si>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</si>
  <si>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</si>
  <si>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</si>
  <si>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</si>
  <si>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</si>
  <si>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</si>
  <si>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</si>
  <si>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</si>
  <si>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</si>
  <si>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</si>
  <si>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</si>
  <si>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</si>
  <si>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</si>
  <si>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</si>
  <si>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</si>
  <si>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</si>
  <si>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</si>
  <si>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</si>
  <si>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</si>
  <si>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</si>
  <si>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</si>
  <si>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</si>
  <si>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</si>
  <si>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</si>
  <si>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</si>
  <si>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</si>
  <si>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</si>
  <si>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</si>
  <si>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</si>
  <si>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</si>
  <si>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</si>
  <si>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</si>
  <si>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</si>
  <si>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</si>
  <si>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</si>
  <si>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</si>
  <si>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</si>
  <si>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</si>
  <si>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</si>
  <si>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</si>
  <si>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</si>
  <si>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</si>
  <si>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</si>
  <si>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</si>
  <si>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</si>
  <si>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</si>
  <si>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</si>
  <si>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</si>
  <si>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</si>
  <si>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</si>
  <si>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</si>
  <si>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</si>
  <si>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</si>
  <si>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</si>
  <si>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</si>
  <si>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</si>
  <si>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</si>
  <si>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</si>
  <si>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</si>
  <si>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</si>
  <si>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</si>
  <si>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</si>
  <si>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</si>
  <si>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</si>
  <si>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</si>
  <si>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</si>
  <si>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</si>
  <si>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</si>
  <si>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</si>
  <si>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</si>
  <si>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</si>
  <si>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</si>
  <si>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</si>
  <si>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</si>
  <si>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</si>
  <si>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</si>
  <si>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</si>
  <si>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</si>
  <si>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</si>
  <si>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</si>
  <si>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</si>
  <si>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</si>
  <si>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</si>
  <si>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</si>
  <si>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</si>
  <si>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</si>
  <si>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</si>
  <si>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</si>
  <si>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</si>
  <si>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</si>
  <si>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</si>
  <si>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</si>
  <si>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</si>
  <si>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</si>
  <si>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</si>
  <si>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</si>
  <si>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</si>
  <si>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</si>
  <si>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</si>
  <si>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</si>
  <si>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</si>
  <si>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</si>
  <si>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</si>
  <si>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</si>
  <si>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</si>
  <si>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</si>
  <si>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</si>
  <si>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</si>
  <si>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</si>
  <si>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</si>
  <si>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</si>
  <si>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</si>
  <si>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</si>
  <si>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</si>
  <si>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</si>
  <si>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</si>
  <si>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</si>
  <si>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</si>
  <si>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</si>
  <si>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</si>
  <si>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</si>
  <si>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</si>
  <si>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</si>
  <si>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</si>
  <si>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</si>
  <si>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</si>
  <si>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</si>
  <si>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</si>
  <si>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</si>
  <si>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</si>
  <si>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</si>
  <si>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</si>
  <si>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</si>
  <si>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</si>
  <si>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</si>
  <si>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</si>
  <si>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</si>
  <si>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</si>
  <si>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</si>
  <si>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</si>
  <si>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</si>
  <si>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</si>
  <si>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</si>
  <si>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</si>
  <si>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</si>
  <si>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</si>
  <si>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</si>
  <si>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</si>
  <si>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</si>
  <si>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</si>
  <si>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</si>
  <si>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</si>
  <si>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</si>
  <si>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</si>
  <si>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</si>
  <si>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</si>
  <si>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</si>
  <si>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</si>
  <si>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</si>
  <si>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</si>
  <si>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</si>
  <si>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</si>
  <si>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</si>
  <si>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</si>
  <si>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</si>
  <si>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</si>
  <si>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</si>
  <si>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</si>
  <si>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</si>
  <si>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</si>
  <si>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</si>
  <si>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</si>
  <si>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</si>
  <si>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</si>
  <si>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</si>
  <si>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</si>
  <si>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</si>
  <si>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</si>
  <si>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</si>
  <si>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</si>
  <si>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</si>
  <si>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</si>
  <si>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</si>
  <si>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</si>
  <si>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</si>
  <si>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</si>
  <si>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</si>
  <si>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</si>
  <si>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</si>
  <si>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</si>
  <si>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</si>
  <si>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</si>
  <si>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</si>
  <si>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</si>
  <si>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</si>
  <si>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</si>
  <si>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</si>
  <si>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</si>
  <si>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</si>
  <si>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</si>
  <si>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</si>
  <si>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</si>
  <si>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</si>
  <si>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</si>
  <si>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</si>
  <si>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</si>
  <si>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</si>
  <si>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</si>
  <si>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</si>
  <si>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</si>
  <si>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</si>
  <si>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</si>
  <si>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</si>
  <si>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</si>
  <si>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</si>
  <si>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</si>
  <si>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</si>
  <si>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</si>
  <si>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</si>
  <si>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</si>
  <si>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</si>
  <si>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</si>
  <si>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Total Daily Volume</t>
  </si>
  <si>
    <t>Return</t>
  </si>
  <si>
    <t>Year</t>
  </si>
  <si>
    <t>All Stocks (2017)</t>
  </si>
  <si>
    <t>original</t>
  </si>
  <si>
    <t>refactored</t>
  </si>
  <si>
    <t>Average</t>
  </si>
  <si>
    <t>Refactored % Efficiency</t>
  </si>
  <si>
    <t>% efficiency</t>
  </si>
  <si>
    <t>Timer Numbers</t>
  </si>
  <si>
    <t>Average Efficiency Increase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</si>
</sst>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  <xf numFmtId="0" fontId="1" fillId="0" borderId="0" xfId="0" applyFont="1"/>
    <xf numFmtId="0" fontId="3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3" xfId="0" applyFont="1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1" fillId="0" borderId="0" xfId="0" applyFont="1" applyBorder="1"/>
    <xf numFmtId="0" fontId="1" fillId="0" borderId="2" xfId="0" applyFont="1" applyBorder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6" xfId="0" applyFill="1" applyBorder="1"/>
    <xf numFmtId="0" fontId="0" fillId="0" borderId="7" xfId="0" applyFill="1" applyBorder="1"/>
    <xf numFmtId="0" fontId="0" fillId="0" borderId="1" xfId="0" applyBorder="1"/>
    <xf numFmtId="0" fontId="4" fillId="0" borderId="0" xfId="0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76200</xdr:rowOff>
        </xdr:from>
        <xdr:to>
          <xdr:col>7</xdr:col>
          <xdr:colOff>47625</xdr:colOff>
          <xdr:row>4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76200</xdr:rowOff>
        </xdr:from>
        <xdr:to>
          <xdr:col>7</xdr:col>
          <xdr:colOff>38100</xdr:colOff>
          <xdr:row>14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5</xdr:row>
          <xdr:rowOff>95250</xdr:rowOff>
        </xdr:from>
        <xdr:to>
          <xdr:col>7</xdr:col>
          <xdr:colOff>47625</xdr:colOff>
          <xdr:row>9</xdr:row>
          <xdr:rowOff>85725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15</xdr:row>
          <xdr:rowOff>142875</xdr:rowOff>
        </xdr:from>
        <xdr:to>
          <xdr:col>2</xdr:col>
          <xdr:colOff>47625</xdr:colOff>
          <xdr:row>18</xdr:row>
          <xdr:rowOff>171450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Refactored Analysis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44004-B214-4B70-9C2E-78EBCA6A2E9B}">
  <sheetPr codeName="Sheet3"/>
  <dimension ref="A1:C4"/>
  <sheetViews>
    <sheetView workbookViewId="0">
      <selection activeCell="C4" sqref="C4"/>
    </sheetView>
  </sheetViews>
  <sheetFormatPr defaultRowHeight="15" x14ac:dyDescent="0.25"/>
  <cols>
    <col min="1" max="1" width="17.5703125" bestFit="1" customWidth="1"/>
    <col min="2" max="2" width="29" bestFit="1" customWidth="1"/>
  </cols>
  <sheetData>
    <row r="1" spans="1:3" x14ac:dyDescent="0.25">
      <c r="A1" t="s">
        <v>522</v>
      </c>
    </row>
    <row r="3" spans="1:3" x14ac:dyDescent="0.25">
      <c r="A3" t="s">
        <v>525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0D26-AD85-4D4B-86DF-3103672DBC81}">
  <sheetPr codeName="Sheet4"/>
  <dimension ref="A1:C15"/>
  <sheetViews>
    <sheetView tabSelected="1" workbookViewId="0">
      <selection activeCell="J13" sqref="J13"/>
    </sheetView>
  </sheetViews>
  <sheetFormatPr defaultRowHeight="15" x14ac:dyDescent="0.25"/>
  <cols>
    <col min="1" max="1" width="15.42578125" bestFit="1" customWidth="1"/>
    <col min="2" max="2" width="19.7109375" bestFit="1" customWidth="1"/>
    <col min="3" max="3" width="9.85546875" bestFit="1" customWidth="1"/>
  </cols>
  <sheetData>
    <row r="1" spans="1:3" x14ac:dyDescent="0.25">
      <c r="A1" s="3" t="s">
        <v>526</v>
      </c>
    </row>
    <row r="3" spans="1:3" ht="15.75" x14ac:dyDescent="0.25">
      <c r="A3" s="4" t="s">
        <v>0</v>
      </c>
      <c r="B3" s="4" t="s">
        <v>523</v>
      </c>
      <c r="C3" s="4" t="s">
        <v>524</v>
      </c>
    </row>
    <row r="4" spans="1:3" x14ac:dyDescent="0.25">
      <c r="A4" t="s">
        <v>8</v>
      </c>
      <c r="B4" s="5">
        <v>136070900</v>
      </c>
      <c r="C4" s="7">
        <v>8.9368253946304321E-2</v>
      </c>
    </row>
    <row r="5" spans="1:3" x14ac:dyDescent="0.25">
      <c r="A5" t="s">
        <v>9</v>
      </c>
      <c r="B5" s="5">
        <v>310592800</v>
      </c>
      <c r="C5" s="7">
        <v>0.33070248365402222</v>
      </c>
    </row>
    <row r="6" spans="1:3" x14ac:dyDescent="0.25">
      <c r="A6" t="s">
        <v>10</v>
      </c>
      <c r="B6" s="5">
        <v>35796200</v>
      </c>
      <c r="C6" s="7">
        <v>1.9944583177566528</v>
      </c>
    </row>
    <row r="7" spans="1:3" x14ac:dyDescent="0.25">
      <c r="A7" t="s">
        <v>11</v>
      </c>
      <c r="B7" s="5">
        <v>221772100</v>
      </c>
      <c r="C7" s="7">
        <v>1.2952382564544678</v>
      </c>
    </row>
    <row r="8" spans="1:3" x14ac:dyDescent="0.25">
      <c r="A8" t="s">
        <v>12</v>
      </c>
      <c r="B8" s="5">
        <v>684181400</v>
      </c>
      <c r="C8" s="7">
        <v>1.0131185054779053</v>
      </c>
    </row>
    <row r="9" spans="1:3" x14ac:dyDescent="0.25">
      <c r="A9" t="s">
        <v>13</v>
      </c>
      <c r="B9" s="5">
        <v>80949300</v>
      </c>
      <c r="C9" s="7">
        <v>0.2583681046962738</v>
      </c>
    </row>
    <row r="10" spans="1:3" x14ac:dyDescent="0.25">
      <c r="A10" t="s">
        <v>14</v>
      </c>
      <c r="B10" s="5">
        <v>191632200</v>
      </c>
      <c r="C10" s="7">
        <v>0.53870755434036255</v>
      </c>
    </row>
    <row r="11" spans="1:3" x14ac:dyDescent="0.25">
      <c r="A11" t="s">
        <v>15</v>
      </c>
      <c r="B11" s="5">
        <v>267681300</v>
      </c>
      <c r="C11" s="7">
        <v>5.5456161499023438E-2</v>
      </c>
    </row>
    <row r="12" spans="1:3" x14ac:dyDescent="0.25">
      <c r="A12" t="s">
        <v>16</v>
      </c>
      <c r="B12" s="5">
        <v>206885200</v>
      </c>
      <c r="C12" s="7">
        <v>1.8446969985961914</v>
      </c>
    </row>
    <row r="13" spans="1:3" x14ac:dyDescent="0.25">
      <c r="A13" t="s">
        <v>17</v>
      </c>
      <c r="B13" s="5">
        <v>782187000</v>
      </c>
      <c r="C13" s="7">
        <v>0.23065699636936188</v>
      </c>
    </row>
    <row r="14" spans="1:3" x14ac:dyDescent="0.25">
      <c r="A14" t="s">
        <v>18</v>
      </c>
      <c r="B14" s="5">
        <v>139402800</v>
      </c>
      <c r="C14" s="6">
        <v>-7.2148971259593964E-2</v>
      </c>
    </row>
    <row r="15" spans="1:3" x14ac:dyDescent="0.25">
      <c r="A15" t="s">
        <v>19</v>
      </c>
      <c r="B15" s="5">
        <v>109487900</v>
      </c>
      <c r="C15" s="7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4.AllStocksAnalysis">
                <anchor moveWithCells="1">
                  <from>
                    <xdr:col>3</xdr:col>
                    <xdr:colOff>57150</xdr:colOff>
                    <xdr:row>0</xdr:row>
                    <xdr:rowOff>76200</xdr:rowOff>
                  </from>
                  <to>
                    <xdr:col>7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learcells">
                <anchor moveWithCells="1" sizeWithCells="1">
                  <from>
                    <xdr:col>3</xdr:col>
                    <xdr:colOff>66675</xdr:colOff>
                    <xdr:row>10</xdr:row>
                    <xdr:rowOff>76200</xdr:rowOff>
                  </from>
                  <to>
                    <xdr:col>7</xdr:col>
                    <xdr:colOff>38100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Module4.formatAllStocksAnalysisTable">
                <anchor moveWithCells="1" sizeWithCells="1">
                  <from>
                    <xdr:col>3</xdr:col>
                    <xdr:colOff>57150</xdr:colOff>
                    <xdr:row>5</xdr:row>
                    <xdr:rowOff>95250</xdr:rowOff>
                  </from>
                  <to>
                    <xdr:col>7</xdr:col>
                    <xdr:colOff>47625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AllStocksAnalysisRefactored">
                <anchor moveWithCells="1" sizeWithCells="1">
                  <from>
                    <xdr:col>0</xdr:col>
                    <xdr:colOff>304800</xdr:colOff>
                    <xdr:row>15</xdr:row>
                    <xdr:rowOff>142875</xdr:rowOff>
                  </from>
                  <to>
                    <xdr:col>2</xdr:col>
                    <xdr:colOff>47625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4D418-3162-49AA-98E5-B38468084488}">
  <sheetPr codeName="Sheet5"/>
  <dimension ref="A1:F14"/>
  <sheetViews>
    <sheetView workbookViewId="0">
      <selection activeCell="N15" sqref="N15"/>
    </sheetView>
  </sheetViews>
  <sheetFormatPr defaultRowHeight="15" x14ac:dyDescent="0.25"/>
  <cols>
    <col min="2" max="3" width="10.7109375" customWidth="1"/>
    <col min="4" max="5" width="11" bestFit="1" customWidth="1"/>
  </cols>
  <sheetData>
    <row r="1" spans="1:6" x14ac:dyDescent="0.25">
      <c r="A1" s="21" t="s">
        <v>532</v>
      </c>
    </row>
    <row r="2" spans="1:6" x14ac:dyDescent="0.25">
      <c r="B2" s="12" t="s">
        <v>527</v>
      </c>
      <c r="C2" s="12"/>
      <c r="D2" s="8" t="s">
        <v>528</v>
      </c>
      <c r="E2" s="12"/>
    </row>
    <row r="3" spans="1:6" x14ac:dyDescent="0.25">
      <c r="B3" s="13">
        <v>2017</v>
      </c>
      <c r="C3" s="13">
        <v>2018</v>
      </c>
      <c r="D3" s="14">
        <v>2017</v>
      </c>
      <c r="E3" s="13">
        <v>2018</v>
      </c>
    </row>
    <row r="4" spans="1:6" x14ac:dyDescent="0.25">
      <c r="B4" s="15">
        <v>0.6015625</v>
      </c>
      <c r="C4">
        <v>0.59765630000000003</v>
      </c>
      <c r="D4" s="9">
        <v>8.9841749999999998E-2</v>
      </c>
      <c r="E4" s="15">
        <v>8.9841749999999998E-2</v>
      </c>
    </row>
    <row r="5" spans="1:6" x14ac:dyDescent="0.25">
      <c r="B5" s="16">
        <v>0.6015625</v>
      </c>
      <c r="C5">
        <v>0.6015625</v>
      </c>
      <c r="D5" s="9">
        <v>8.9841749999999998E-2</v>
      </c>
      <c r="E5" s="18">
        <v>9.375E-2</v>
      </c>
    </row>
    <row r="6" spans="1:6" x14ac:dyDescent="0.25">
      <c r="B6" s="16">
        <v>0.59765630000000003</v>
      </c>
      <c r="C6">
        <v>0.6015625</v>
      </c>
      <c r="D6" s="9">
        <v>8.9841749999999998E-2</v>
      </c>
      <c r="E6" s="18">
        <v>9.375E-2</v>
      </c>
    </row>
    <row r="7" spans="1:6" x14ac:dyDescent="0.25">
      <c r="B7" s="16">
        <v>0.59765630000000003</v>
      </c>
      <c r="C7">
        <v>0.61328130000000003</v>
      </c>
      <c r="D7" s="9">
        <v>9.375E-2</v>
      </c>
      <c r="E7" s="16">
        <v>8.9841749999999998E-2</v>
      </c>
    </row>
    <row r="8" spans="1:6" x14ac:dyDescent="0.25">
      <c r="B8" s="17">
        <v>0.59375</v>
      </c>
      <c r="C8" s="10">
        <v>0.6015625</v>
      </c>
      <c r="D8" s="11">
        <v>8.9841749999999998E-2</v>
      </c>
      <c r="E8" s="19">
        <v>9.375E-2</v>
      </c>
    </row>
    <row r="9" spans="1:6" x14ac:dyDescent="0.25">
      <c r="A9" s="3" t="s">
        <v>529</v>
      </c>
      <c r="B9" s="20">
        <f>AVERAGE(B4:B8)</f>
        <v>0.59843752000000006</v>
      </c>
      <c r="C9" s="20">
        <f>AVERAGE(C4:C8)</f>
        <v>0.60312502000000001</v>
      </c>
      <c r="D9" s="20">
        <f t="shared" ref="D9:E9" si="0">AVERAGE(D4:D8)</f>
        <v>9.0623399999999993E-2</v>
      </c>
      <c r="E9" s="20">
        <f t="shared" si="0"/>
        <v>9.2186699999999996E-2</v>
      </c>
    </row>
    <row r="11" spans="1:6" x14ac:dyDescent="0.25">
      <c r="A11" s="21" t="s">
        <v>530</v>
      </c>
    </row>
    <row r="12" spans="1:6" x14ac:dyDescent="0.25">
      <c r="B12" s="3" t="s">
        <v>527</v>
      </c>
      <c r="C12" s="3" t="s">
        <v>528</v>
      </c>
      <c r="D12" s="3" t="s">
        <v>531</v>
      </c>
      <c r="F12" s="3" t="s">
        <v>533</v>
      </c>
    </row>
    <row r="13" spans="1:6" x14ac:dyDescent="0.25">
      <c r="A13" s="3">
        <v>2017</v>
      </c>
      <c r="B13">
        <f>B9</f>
        <v>0.59843752000000006</v>
      </c>
      <c r="C13">
        <f>D9</f>
        <v>9.0623399999999993E-2</v>
      </c>
      <c r="D13" s="2">
        <f>B13/C13</f>
        <v>6.6035650836318229</v>
      </c>
      <c r="F13" s="2">
        <f>AVERAGE(D13:D14)</f>
        <v>6.5729974784607856</v>
      </c>
    </row>
    <row r="14" spans="1:6" x14ac:dyDescent="0.25">
      <c r="A14" s="3">
        <v>2018</v>
      </c>
      <c r="B14">
        <f>C9</f>
        <v>0.60312502000000001</v>
      </c>
      <c r="C14">
        <f>E9</f>
        <v>9.2186699999999996E-2</v>
      </c>
      <c r="D14" s="2">
        <f>B14/C14</f>
        <v>6.5424298732897483</v>
      </c>
    </row>
  </sheetData>
  <conditionalFormatting sqref="D13:D14">
    <cfRule type="cellIs" dxfId="3" priority="4" operator="greaterThan">
      <formula>1</formula>
    </cfRule>
    <cfRule type="cellIs" dxfId="2" priority="1" operator="lessThan">
      <formula>1</formula>
    </cfRule>
  </conditionalFormatting>
  <conditionalFormatting sqref="F13">
    <cfRule type="cellIs" dxfId="1" priority="3" operator="greaterThan">
      <formula>1</formula>
    </cfRule>
    <cfRule type="cellIs" dxfId="0" priority="2" operator="less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 Manwaring</dc:creator>
  <cp:lastModifiedBy>Clay Manwaring</cp:lastModifiedBy>
  <dcterms:created xsi:type="dcterms:W3CDTF">2019-05-02T20:23:55Z</dcterms:created>
  <dcterms:modified xsi:type="dcterms:W3CDTF">2021-03-21T21:55:08Z</dcterms:modified>
</cp:coreProperties>
</file>